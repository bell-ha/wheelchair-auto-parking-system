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ngha/Desktop/"/>
    </mc:Choice>
  </mc:AlternateContent>
  <xr:revisionPtr revIDLastSave="0" documentId="13_ncr:1_{E3CAF0C5-2ED7-8242-95D2-659755D62E48}" xr6:coauthVersionLast="47" xr6:coauthVersionMax="47" xr10:uidLastSave="{00000000-0000-0000-0000-000000000000}"/>
  <bookViews>
    <workbookView xWindow="16260" yWindow="760" windowWidth="18300" windowHeight="20400" xr2:uid="{00000000-000D-0000-FFFF-FFFF00000000}"/>
  </bookViews>
  <sheets>
    <sheet name="구매해야할 물품리스트를 엑셀로 정리하려고 하는데 어떤 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4" i="1"/>
  <c r="H3" i="1"/>
  <c r="H2" i="1"/>
  <c r="H9" i="1" l="1"/>
</calcChain>
</file>

<file path=xl/sharedStrings.xml><?xml version="1.0" encoding="utf-8"?>
<sst xmlns="http://schemas.openxmlformats.org/spreadsheetml/2006/main" count="46" uniqueCount="39">
  <si>
    <t>구분</t>
  </si>
  <si>
    <t>비고 (용도)</t>
  </si>
  <si>
    <t>품목명</t>
  </si>
  <si>
    <t>규격/옵션</t>
  </si>
  <si>
    <t>수량</t>
  </si>
  <si>
    <t>단가</t>
  </si>
  <si>
    <t>배송비</t>
  </si>
  <si>
    <t>합계</t>
  </si>
  <si>
    <t>구매처(링크)</t>
  </si>
  <si>
    <t>진행상황</t>
  </si>
  <si>
    <t>방식</t>
  </si>
  <si>
    <t>조이스틱 제어</t>
  </si>
  <si>
    <t>서보모터</t>
  </si>
  <si>
    <t>MG996</t>
  </si>
  <si>
    <t>주문 전</t>
  </si>
  <si>
    <t>전원부</t>
  </si>
  <si>
    <t>18650 리튬이온 배터리</t>
  </si>
  <si>
    <t>3000mA</t>
  </si>
  <si>
    <t>https://smartstore.naver.com/lighthunter/products/10966261696?nl-query=18650%20%EB%B0%B0%ED%84%B0%EB%A6%AC%20%EC%89%B4%EB%93%9C&amp;nl-au=2026c869717e4f30aee8e345b47eaf32&amp;NaPm=ci%3D2026c869717e4f30aee8e345b47eaf32%7Cct%3Dmjjqrlsi%7Ctr%3Dnslrsp%7Csn%3D%7Chk%3De16eb0a022d7ae5418af6d3ea2b11d519b3b715b</t>
  </si>
  <si>
    <t>마이크로 USB POWER LOGIC 은행 모듈</t>
  </si>
  <si>
    <t>V8</t>
  </si>
  <si>
    <t>https://smartstore.naver.com/globelle/products/12388764477?nl-query=18650%20%EB%B0%B0%ED%84%B0%EB%A6%AC%20%EC%89%B4%EB%93%9C&amp;nl-au=b4d4c09a0f7c416a8c1345b9318b7016&amp;NaPm=ci%3Db4d4c09a0f7c416a8c1345b9318b7016%7Cct%3Dmjjqra6e%7Ctr%3Dnslsl%7Csn%3D10704284%7Chk%3Ddbbfe43c184a63eacd43111f7b7001aedbf9504c</t>
  </si>
  <si>
    <t>어라운드 뷰 구현</t>
  </si>
  <si>
    <t>광각 웹캠 (어안)</t>
  </si>
  <si>
    <t>180도 시야각, USB출력(후처리는 PC에서)</t>
  </si>
  <si>
    <t>https://smartstore.naver.com/raili/products/12733637134?NaPm=ct%3Dmifztai8%7Cci%3D34436599111a0109c2b47abe9f2d681258591753%7Ctr%3Dslsl%7Csn%3D12185088%7Chk%3D2345653ff91a1b5748ba5c976879bc4c7e91f087&amp;nl-au=ebcf9ea782814216acbf48a5f87cb5eb&amp;nl-query=%EA%B4%91%EA%B0%81+%EC%9B%B9%EC%BA%A0</t>
  </si>
  <si>
    <t>배송 완료</t>
  </si>
  <si>
    <t>1. USB로 입력받은 4개의 카메라 스트림을 받는다. (Camera 1,2,3,4 OpenCV로 읽음)</t>
  </si>
  <si>
    <t>2. 체커보드를 활용해 네 카메라의 왜곡 보정한다.</t>
  </si>
  <si>
    <t>3. 왜곡된 fisheye영상을 직선으로 보이게 변환하는 과정 거침(왜곡보정)</t>
  </si>
  <si>
    <t>4. 탑뷰를 보기 위해 이미지 처리 영역에서 좌표 보정함</t>
  </si>
  <si>
    <t>삼각대</t>
  </si>
  <si>
    <t>1.3m</t>
  </si>
  <si>
    <t>https://smartstore.naver.com/mkit/products/758607979?NaPm=ct%3Dmig0j5u0%7Cci%3D5f770bc758ddd7fb4768b9c1fc2d6bd48ceaf3eb%7Ctr%3Dslsl%7Csn%3D465194%7Chk%3D96a7623a1cfbfd1793a5225f9d2abf767229794b&amp;nl-au=c2a16255d7334fba9466dd8de105cda7&amp;nl-query=%ED%9C%B4%EB%8C%80%ED%8F%B0+%EC%82%BC%EA%B0%81%EB%8C%80</t>
  </si>
  <si>
    <t>웹캠 -&gt; PC 연결</t>
  </si>
  <si>
    <t>USB 3.0 연장 케이블</t>
  </si>
  <si>
    <t>2m</t>
  </si>
  <si>
    <t>https://brand.naver.com/basicgear/products/11988028168?nl-query=usb%20%EC%97%B0%EC%9E%A5%202m&amp;nl-au=8624a2de785349ce850aa55e35bfde64&amp;NaPm=ci%3D8624a2de785349ce850aa55e35bfde64%7Cct%3Dmigqnpao%7Ctr%3Dnslcrm%7Csn%3D743251%7Chk%3D3626631986aaee9779d0b9f9bf97e95cc929e623</t>
  </si>
  <si>
    <t>https://smartstore.naver.com/openhw/products/2432296643?nl-query=%EC%84%9C%EB%B3%B4%EB%AA%A8%ED%84%B0&amp;nl-au=9dd3845532a34c2d916590ef568e27a0&amp;NaPm=ci%3D9dd3845532a34c2d916590ef568e27a0%7Cct%3Dmig1o0gm%7Ctr%3Dnslsl%7Csn%3D482102%7Chk%3Dc7f5b22e09ad515002e778ea434216207b3203b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</si>
</sst>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00"/>
      <name val="&quot;Malgun Gothic&quot;"/>
    </font>
    <font>
      <u/>
      <sz val="10"/>
      <color rgb="FF0000FF"/>
      <name val="Arial"/>
      <family val="2"/>
    </font>
    <font>
      <sz val="8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표준" xfId="0" builtinId="0"/>
    <cellStyle name="하이퍼링크" xfId="1" builtinId="8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store.naver.com/globelle/products/12388764477?nl-query=18650%20%EB%B0%B0%ED%84%B0%EB%A6%AC%20%EC%89%B4%EB%93%9C&amp;nl-au=b4d4c09a0f7c416a8c1345b9318b7016&amp;NaPm=ci%3Db4d4c09a0f7c416a8c1345b9318b7016%7Cct%3Dmjjqra6e%7Ctr%3Dnslsl%7Csn%3D10704284%7Chk%3Ddbbfe43c184a63eacd43111f7b7001aedbf9504c" TargetMode="External"/><Relationship Id="rId2" Type="http://schemas.openxmlformats.org/officeDocument/2006/relationships/hyperlink" Target="https://smartstore.naver.com/lighthunter/products/10966261696?nl-query=18650%20%EB%B0%B0%ED%84%B0%EB%A6%AC%20%EC%89%B4%EB%93%9C&amp;nl-au=2026c869717e4f30aee8e345b47eaf32&amp;NaPm=ci%3D2026c869717e4f30aee8e345b47eaf32%7Cct%3Dmjjqrlsi%7Ctr%3Dnslrsp%7Csn%3D%7Chk%3De16eb0a022d7ae5418af6d3ea2b11d519b3b715b" TargetMode="External"/><Relationship Id="rId1" Type="http://schemas.openxmlformats.org/officeDocument/2006/relationships/hyperlink" Target="https://smartstore.naver.com/openhw/products/2432296643?nl-query=%EC%84%9C%EB%B3%B4%EB%AA%A8%ED%84%B0&amp;nl-au=9dd3845532a34c2d916590ef568e27a0&amp;NaPm=ci%3D9dd3845532a34c2d916590ef568e27a0%7Cct%3Dmig1o0gm%7Ctr%3Dnslsl%7Csn%3D482102%7Chk%3Dc7f5b22e09ad515002e778ea434216207b3203bd" TargetMode="External"/><Relationship Id="rId6" Type="http://schemas.openxmlformats.org/officeDocument/2006/relationships/hyperlink" Target="https://brand.naver.com/basicgear/products/11988028168?nl-query=usb%20%EC%97%B0%EC%9E%A5%202m&amp;nl-au=8624a2de785349ce850aa55e35bfde64&amp;NaPm=ci%3D8624a2de785349ce850aa55e35bfde64%7Cct%3Dmigqnpao%7Ctr%3Dnslcrm%7Csn%3D743251%7Chk%3D3626631986aaee9779d0b9f9bf97e95cc929e623" TargetMode="External"/><Relationship Id="rId5" Type="http://schemas.openxmlformats.org/officeDocument/2006/relationships/hyperlink" Target="https://smartstore.naver.com/mkit/products/758607979?NaPm=ct%3Dmig0j5u0%7Cci%3D5f770bc758ddd7fb4768b9c1fc2d6bd48ceaf3eb%7Ctr%3Dslsl%7Csn%3D465194%7Chk%3D96a7623a1cfbfd1793a5225f9d2abf767229794b&amp;nl-au=c2a16255d7334fba9466dd8de105cda7&amp;nl-query=%ED%9C%B4%EB%8C%80%ED%8F%B0+%EC%82%BC%EA%B0%81%EB%8C%80" TargetMode="External"/><Relationship Id="rId4" Type="http://schemas.openxmlformats.org/officeDocument/2006/relationships/hyperlink" Target="https://smartstore.naver.com/raili/products/12733637134?NaPm=ct%3Dmifztai8%7Cci%3D34436599111a0109c2b47abe9f2d681258591753%7Ctr%3Dslsl%7Csn%3D12185088%7Chk%3D2345653ff91a1b5748ba5c976879bc4c7e91f087&amp;nl-au=ebcf9ea782814216acbf48a5f87cb5eb&amp;nl-query=%EA%B4%91%EA%B0%81+%EC%9B%B9%EC%BA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9"/>
  <sheetViews>
    <sheetView tabSelected="1" zoomScale="93" workbookViewId="0">
      <selection activeCell="I2" sqref="I2"/>
    </sheetView>
  </sheetViews>
  <sheetFormatPr baseColWidth="10" defaultColWidth="12.6640625" defaultRowHeight="15.75" customHeight="1"/>
  <cols>
    <col min="1" max="1" width="6.1640625" customWidth="1"/>
    <col min="3" max="3" width="29.1640625" customWidth="1"/>
    <col min="4" max="4" width="32.1640625" customWidth="1"/>
    <col min="9" max="9" width="18.1640625" customWidth="1"/>
    <col min="11" max="11" width="61.1640625" customWidth="1"/>
    <col min="12" max="12" width="37.1640625" customWidth="1"/>
    <col min="13" max="13" width="48.83203125" customWidth="1"/>
    <col min="14" max="14" width="38.33203125" customWidth="1"/>
  </cols>
  <sheetData>
    <row r="1" spans="1:2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0" customHeight="1">
      <c r="A2" s="1">
        <v>1</v>
      </c>
      <c r="B2" s="1" t="s">
        <v>11</v>
      </c>
      <c r="C2" s="1" t="s">
        <v>12</v>
      </c>
      <c r="D2" s="1" t="s">
        <v>13</v>
      </c>
      <c r="E2" s="1">
        <v>2</v>
      </c>
      <c r="F2" s="2">
        <v>2980</v>
      </c>
      <c r="G2" s="2">
        <v>3000</v>
      </c>
      <c r="H2" s="2">
        <f t="shared" ref="H2:H4" si="0">F2 * E2 + G2</f>
        <v>8960</v>
      </c>
      <c r="I2" s="7" t="s">
        <v>38</v>
      </c>
      <c r="J2" s="4" t="s">
        <v>14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0" customHeight="1">
      <c r="A3" s="1">
        <v>2</v>
      </c>
      <c r="B3" s="1" t="s">
        <v>15</v>
      </c>
      <c r="C3" s="1" t="s">
        <v>16</v>
      </c>
      <c r="D3" s="1" t="s">
        <v>17</v>
      </c>
      <c r="E3" s="1">
        <v>2</v>
      </c>
      <c r="F3" s="2">
        <v>4500</v>
      </c>
      <c r="G3" s="1">
        <v>3000</v>
      </c>
      <c r="H3" s="2">
        <f t="shared" si="0"/>
        <v>12000</v>
      </c>
      <c r="I3" s="3" t="s">
        <v>18</v>
      </c>
      <c r="J3" s="5" t="s">
        <v>14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>
      <c r="A4" s="1">
        <v>3</v>
      </c>
      <c r="B4" s="1" t="s">
        <v>15</v>
      </c>
      <c r="C4" s="1" t="s">
        <v>19</v>
      </c>
      <c r="D4" s="1" t="s">
        <v>20</v>
      </c>
      <c r="E4" s="1">
        <v>1</v>
      </c>
      <c r="F4" s="1">
        <v>10380</v>
      </c>
      <c r="G4" s="1">
        <v>0</v>
      </c>
      <c r="H4" s="2">
        <f t="shared" si="0"/>
        <v>10380</v>
      </c>
      <c r="I4" s="3" t="s">
        <v>21</v>
      </c>
      <c r="J4" s="5" t="s">
        <v>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0" customHeight="1">
      <c r="A5" s="1"/>
      <c r="B5" s="1"/>
      <c r="C5" s="1"/>
      <c r="D5" s="1"/>
      <c r="E5" s="1"/>
      <c r="F5" s="1"/>
      <c r="G5" s="1"/>
      <c r="H5" s="1"/>
      <c r="I5" s="1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0" customHeight="1">
      <c r="A6" s="1">
        <v>4</v>
      </c>
      <c r="B6" s="1" t="s">
        <v>22</v>
      </c>
      <c r="C6" s="1" t="s">
        <v>23</v>
      </c>
      <c r="D6" s="1" t="s">
        <v>24</v>
      </c>
      <c r="E6" s="1">
        <v>4</v>
      </c>
      <c r="F6" s="1">
        <v>95040</v>
      </c>
      <c r="G6" s="1">
        <v>0</v>
      </c>
      <c r="H6" s="2">
        <f t="shared" ref="H6:H7" si="1">F6 * E6 + G6</f>
        <v>380160</v>
      </c>
      <c r="I6" s="3" t="s">
        <v>25</v>
      </c>
      <c r="J6" s="5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" customHeight="1">
      <c r="A7" s="1">
        <v>5</v>
      </c>
      <c r="B7" s="1" t="s">
        <v>22</v>
      </c>
      <c r="C7" s="1" t="s">
        <v>31</v>
      </c>
      <c r="D7" s="1" t="s">
        <v>32</v>
      </c>
      <c r="E7" s="1">
        <v>4</v>
      </c>
      <c r="F7" s="1">
        <v>18000</v>
      </c>
      <c r="G7" s="1">
        <v>2500</v>
      </c>
      <c r="H7" s="2">
        <f t="shared" si="1"/>
        <v>74500</v>
      </c>
      <c r="I7" s="6" t="s">
        <v>33</v>
      </c>
      <c r="J7" s="4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customHeight="1">
      <c r="A8" s="1">
        <v>6</v>
      </c>
      <c r="B8" s="1" t="s">
        <v>34</v>
      </c>
      <c r="C8" s="1" t="s">
        <v>35</v>
      </c>
      <c r="D8" s="1" t="s">
        <v>36</v>
      </c>
      <c r="E8" s="1">
        <v>2</v>
      </c>
      <c r="F8" s="2">
        <v>7700</v>
      </c>
      <c r="G8" s="2">
        <v>2500</v>
      </c>
      <c r="H8" s="2">
        <f>SUM(F8*E8 +G8)</f>
        <v>17900</v>
      </c>
      <c r="I8" s="3" t="s">
        <v>37</v>
      </c>
      <c r="J8" s="4" t="s">
        <v>26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" customHeight="1">
      <c r="A9" s="1"/>
      <c r="B9" s="1"/>
      <c r="C9" s="1"/>
      <c r="D9" s="1"/>
      <c r="E9" s="1"/>
      <c r="F9" s="1"/>
      <c r="G9" s="1" t="s">
        <v>7</v>
      </c>
      <c r="H9" s="2">
        <f>SUM(H2:H7)</f>
        <v>486000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3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3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3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3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3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3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3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3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3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3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3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3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3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3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3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3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3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3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3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3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3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3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3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3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3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3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3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3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3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3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3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3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3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3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3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3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3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3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3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3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3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3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3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3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3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3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3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3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3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3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3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3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3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3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3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3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3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3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3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3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3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3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3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3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3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3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3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3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3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3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3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3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3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3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3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3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3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3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3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3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3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3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3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3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3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3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3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3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3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3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3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3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3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3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3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3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3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3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3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3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3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3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3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3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3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3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3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3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3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3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3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3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3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3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3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3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3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3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3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3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3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3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3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3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3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3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3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3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3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3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3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3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3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3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3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3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3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3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3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3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3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3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3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3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3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3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3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3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3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3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3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3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3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3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3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3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3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3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3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3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3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3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3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3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3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3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3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3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3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3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3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3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3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3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3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3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3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3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3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3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3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3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3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3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3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3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3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3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3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3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3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3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3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3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3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3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3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3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3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3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3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3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3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3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3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3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3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3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3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3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3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3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3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3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3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3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3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3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3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3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3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3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3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3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3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3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3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3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3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3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3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3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3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3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3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3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3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3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3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3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3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3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3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3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3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3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3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3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3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3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3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3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3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3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3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3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3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3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3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3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3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3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3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3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3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3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3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3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3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3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3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3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3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3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3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3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3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3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3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3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3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3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3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3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3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3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3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3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3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3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3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3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3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3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3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3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3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3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3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3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3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3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3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3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3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3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3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3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3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3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3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3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3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3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3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3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3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3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3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3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3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3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3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3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3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3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3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3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3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3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3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3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3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3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3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3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3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3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3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3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3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3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3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3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3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3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3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3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3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3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3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3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3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3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3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3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3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3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3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3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3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3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3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3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3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3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3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3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3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3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3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3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3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3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3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3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3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3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3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3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3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3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3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3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3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3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3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3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3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3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3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3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3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3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3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3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3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3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3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3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3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3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3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3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3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3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3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3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3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3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3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3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3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3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3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3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3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3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3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3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3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3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3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3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3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3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3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3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3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3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3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3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3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3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3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3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3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3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3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3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3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3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3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3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3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3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3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3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3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3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3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3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3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3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3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3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3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3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3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3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3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3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3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3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3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3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3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3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3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3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3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3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3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3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3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3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3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3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3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3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3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3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3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3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3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3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3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3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3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3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3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3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3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3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3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3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3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3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3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3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3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3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3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3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3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3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3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3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3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3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3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3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3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3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3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3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3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3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3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3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3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3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3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3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3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3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3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3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3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3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3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3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3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3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3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3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3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3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3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3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3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3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3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3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3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3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3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3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3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3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3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3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3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3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3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3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3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3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3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3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3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3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3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3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3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3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3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3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3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3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3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3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3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3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3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3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3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3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3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3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3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3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3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3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3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3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3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3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3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3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3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3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3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3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3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3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3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3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3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3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3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3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3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3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3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3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3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3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3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3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3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3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3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3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3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3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3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3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3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3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3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3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3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3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3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3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3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3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3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3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3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3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3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3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3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3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3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3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3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3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3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3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3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3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3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3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3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3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3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3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3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3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3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3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3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3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3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3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3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3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3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3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3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3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3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3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3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3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3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3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3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3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3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3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3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3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3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3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3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3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3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3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3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3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3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3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3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3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3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3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3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3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3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3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3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3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3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3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3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3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3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3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3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3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3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3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3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3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3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3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3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3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3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3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3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3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3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3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3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3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3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3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3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3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3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3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3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3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3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3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3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3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3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3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3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3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3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3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3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3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3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3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3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3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3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3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3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3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3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3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3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3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3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3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3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3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3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3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3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3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3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3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3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3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3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3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3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3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3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3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3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3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3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3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3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3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3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3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3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3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3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3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3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3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3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3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3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3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3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3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3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3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3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3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3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3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3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3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3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3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3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3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3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3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3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3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3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3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3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3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3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3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3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3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3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3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3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3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3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3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3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3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3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3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3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3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3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3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3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3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3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3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3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3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3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3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3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3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3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3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3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3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3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3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3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3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3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3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3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3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3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3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3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3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3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3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3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3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3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3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3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3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3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3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3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3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3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3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3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3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3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3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3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3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3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3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3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3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3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3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3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3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3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3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3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3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3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3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3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3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3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3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3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3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3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3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3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3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3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3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3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3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3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3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3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3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3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3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3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3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3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3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3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3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3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3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3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3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3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3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3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3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3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3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3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phoneticPr fontId="6" type="noConversion"/>
  <conditionalFormatting sqref="H1:H999">
    <cfRule type="notContainsBlanks" dxfId="0" priority="1">
      <formula>LEN(TRIM(H1))&gt;0</formula>
    </cfRule>
  </conditionalFormatting>
  <hyperlinks>
    <hyperlink ref="I2" r:id="rId1" display="https://smartstore.naver.com/openhw/products/2432296643?nl-query=%EC%84%9C%EB%B3%B4%EB%AA%A8%ED%84%B0&amp;nl-au=9dd3845532a34c2d916590ef568e27a0&amp;NaPm=ci%3D9dd3845532a34c2d916590ef568e27a0%7Cct%3Dmig1o0gm%7Ctr%3Dnslsl%7Csn%3D482102%7Chk%3Dc7f5b22e09ad515002e778ea434216207b3203bd" xr:uid="{00000000-0004-0000-0000-000000000000}"/>
    <hyperlink ref="I3" r:id="rId2" xr:uid="{00000000-0004-0000-0000-000001000000}"/>
    <hyperlink ref="I4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구매해야할 물품리스트를 엑셀로 정리하려고 하는데 어떤 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이종하</cp:lastModifiedBy>
  <dcterms:modified xsi:type="dcterms:W3CDTF">2025-12-26T06:02:37Z</dcterms:modified>
</cp:coreProperties>
</file>